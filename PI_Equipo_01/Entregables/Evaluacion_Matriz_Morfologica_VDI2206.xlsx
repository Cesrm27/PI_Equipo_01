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Notas" sheetId="2" r:id="rId5"/>
    <sheet state="visible" name="Matriz" sheetId="3" r:id="rId6"/>
    <sheet state="visible" name="Conceptos" sheetId="4" r:id="rId7"/>
    <sheet state="visible" name="Puntajes (1-5)" sheetId="5" r:id="rId8"/>
    <sheet state="visible" name="Criterios" sheetId="6" r:id="rId9"/>
    <sheet state="visible" name="Pugh" sheetId="7" r:id="rId10"/>
    <sheet state="visible" name="Ponderado" sheetId="8" r:id="rId11"/>
  </sheets>
  <definedNames/>
  <calcPr/>
  <extLst>
    <ext uri="GoogleSheetsCustomDataVersion2">
      <go:sheetsCustomData xmlns:go="http://customooxmlschemas.google.com/" r:id="rId12" roundtripDataChecksum="lgN3fnQv0hE1EXAUF6B80pnK7hdWBrYRdzFKoEzKbE8="/>
    </ext>
  </extLst>
</workbook>
</file>

<file path=xl/sharedStrings.xml><?xml version="1.0" encoding="utf-8"?>
<sst xmlns="http://schemas.openxmlformats.org/spreadsheetml/2006/main" count="252" uniqueCount="123">
  <si>
    <t>Paso</t>
  </si>
  <si>
    <t>Concepto</t>
  </si>
  <si>
    <t>Notas de interfaz / compatibilidad</t>
  </si>
  <si>
    <t>Subfunción</t>
  </si>
  <si>
    <t>Detalle</t>
  </si>
  <si>
    <t>Detectar concentración de NH3</t>
  </si>
  <si>
    <t>Detectar concentración de CO2</t>
  </si>
  <si>
    <t>El ESP32 básico no trae ADC de alta resolución ni puerto UART libre de sobra: si se usan sensores electroquímicos ZE03 (UART) junto con cámara y pantalla OLED, conviene migrar a ESP32-S3.</t>
  </si>
  <si>
    <t>Medir temperatura y humedad ambiental</t>
  </si>
  <si>
    <t>Medir condiciones del suelo</t>
  </si>
  <si>
    <t>Procesar información</t>
  </si>
  <si>
    <t>Capturar/concentrar gases</t>
  </si>
  <si>
    <t>Proteger componentes electrónicos</t>
  </si>
  <si>
    <t>Ubicar sensores en el cultivo</t>
  </si>
  <si>
    <t>Función</t>
  </si>
  <si>
    <t>Matriz : revisa subfunciones y alternativas; lee 'Notas' para incompatibilidades.</t>
  </si>
  <si>
    <t>Fijar el sistema al terreno</t>
  </si>
  <si>
    <t>Liberar gases acumulados</t>
  </si>
  <si>
    <t>Alimentar el sistema</t>
  </si>
  <si>
    <t>Alternativa 1</t>
  </si>
  <si>
    <t>Regular y distribuir energía</t>
  </si>
  <si>
    <t>El sensor MQ-137 requiere tiempo de precalentamiento (~24-48h la primera vez, minutos en cada lectura), lo que afecta el 'muestreo periódico' de alta frecuencia.</t>
  </si>
  <si>
    <t>Conceptos : combina 1 alternativa por subfunción (A, B, C).</t>
  </si>
  <si>
    <t>Gestionar adquisición de datos</t>
  </si>
  <si>
    <t>Interfaz de usuario</t>
  </si>
  <si>
    <t>Alternativa 2</t>
  </si>
  <si>
    <t>Protocolo de comunicación</t>
  </si>
  <si>
    <t>Criterios : define pesos (suman 1,0) y justifícalos en tu proyecto.</t>
  </si>
  <si>
    <t>Almacenamiento histórico</t>
  </si>
  <si>
    <t>Alternativa 3</t>
  </si>
  <si>
    <t>Exportar información</t>
  </si>
  <si>
    <t>Puntajes (1-5) : valora cada concepto por criterio (5 = mejor).</t>
  </si>
  <si>
    <t>La alimentación por power bank USB no es compatible con una cámara con bomba de muestreo (mayor consumo): se recomienda batería Li-ion o panel solar + BMS. Los sensores NDIR de CO2 (SCD41/SCD30/MH-Z19B) también consumen más que un MQ-137 y conviene alimentarlos con batería en vez de power bank.</t>
  </si>
  <si>
    <t>Concepto A (Solución 1 - Básica)</t>
  </si>
  <si>
    <t>SENSADO</t>
  </si>
  <si>
    <t>Pugh : compara B y C contra A con +/0/-; revisa sumas.</t>
  </si>
  <si>
    <t>MQ-137</t>
  </si>
  <si>
    <t>El protocolo Wi-Fi + Firebase requiere cobertura de red estable; en parcelas rurales de papa/yuca alejadas puede ser poco confiable sin un gateway o red celular adicional.</t>
  </si>
  <si>
    <t>Ponderado : calcula Total ponderado = SUMA(peso * puntaje).</t>
  </si>
  <si>
    <t>SCD41</t>
  </si>
  <si>
    <t>El gabinete IP65 y la cámara con bomba de muestreo elevan el costo y la complejidad mecánica: evaluarlos solo si el criterio de robustez ambiental pesa más que el costo.</t>
  </si>
  <si>
    <t>DHT22</t>
  </si>
  <si>
    <t>Selecciona los concepto líderes y registra riesgos/ensayos a planificar.</t>
  </si>
  <si>
    <t>Humedad capacitiva</t>
  </si>
  <si>
    <t>ESP32</t>
  </si>
  <si>
    <t>La nueva subfunción 'Liberar gases acumulados' debe ser compatible con la cámara elegida: una cámara cerrada estática requiere tapa desmontable/abatible manual, mientras que la cámara con bomba de muestreo funciona mejor con válvula de ventilación automatizada.</t>
  </si>
  <si>
    <t>Cámara cerrada estática</t>
  </si>
  <si>
    <t>Caja ABS</t>
  </si>
  <si>
    <t>ZE03-NH3</t>
  </si>
  <si>
    <t>En la cámara</t>
  </si>
  <si>
    <t>Base con estacas</t>
  </si>
  <si>
    <t>ME3-NH3</t>
  </si>
  <si>
    <t>Tapa desmontable o abatible</t>
  </si>
  <si>
    <t>Power bank USB</t>
  </si>
  <si>
    <t>LM2596</t>
  </si>
  <si>
    <t>Muestreo periódico</t>
  </si>
  <si>
    <t>Pantalla OLED</t>
  </si>
  <si>
    <t>Bluetooth</t>
  </si>
  <si>
    <t>MicroSD</t>
  </si>
  <si>
    <t>MH-Z19B</t>
  </si>
  <si>
    <t>CSV</t>
  </si>
  <si>
    <t>SCD30</t>
  </si>
  <si>
    <t>Concepto B (Solución 2 - Equilibrada)</t>
  </si>
  <si>
    <t>BME280</t>
  </si>
  <si>
    <t>Humedad + temperatura</t>
  </si>
  <si>
    <t>ESP32-S3</t>
  </si>
  <si>
    <t>Cámara ventilada</t>
  </si>
  <si>
    <t>Carcasa impresa 3D ABS</t>
  </si>
  <si>
    <t>SHT31</t>
  </si>
  <si>
    <t>Cerca del suelo</t>
  </si>
  <si>
    <t>Trípode portátil</t>
  </si>
  <si>
    <t>Ventilador/extractor con rejilla</t>
  </si>
  <si>
    <t>Batería Li-ion</t>
  </si>
  <si>
    <t>Convertidor DC-DC</t>
  </si>
  <si>
    <t>Muestreo por umbral</t>
  </si>
  <si>
    <t>Sensor multiparámetro</t>
  </si>
  <si>
    <t>App móvil</t>
  </si>
  <si>
    <t>PROCESAMIENTO</t>
  </si>
  <si>
    <t>Wi-Fi + MQTT</t>
  </si>
  <si>
    <t>Base de datos local</t>
  </si>
  <si>
    <t>Excel / Sheets</t>
  </si>
  <si>
    <t>Concepto C (Solución 3 - Avanzada)</t>
  </si>
  <si>
    <t>Raspberry Pi</t>
  </si>
  <si>
    <t>MECÁNICO</t>
  </si>
  <si>
    <t>Capturar / concentrar gases para medición</t>
  </si>
  <si>
    <t>Cámara con bomba de muestreo</t>
  </si>
  <si>
    <t>Gabinete IP65</t>
  </si>
  <si>
    <t>Soporte regulable</t>
  </si>
  <si>
    <t>Estructura atornillada</t>
  </si>
  <si>
    <t>Válvula de ventilación</t>
  </si>
  <si>
    <t>Panel solar + batería</t>
  </si>
  <si>
    <t>Módulo BMS</t>
  </si>
  <si>
    <t>Muestreo adaptativo</t>
  </si>
  <si>
    <t>Dashboard web</t>
  </si>
  <si>
    <t>Wi-Fi + Firebase</t>
  </si>
  <si>
    <t>Nube</t>
  </si>
  <si>
    <t>API para ML</t>
  </si>
  <si>
    <t>Concepto seleccionado por el equipo</t>
  </si>
  <si>
    <t>ENERGÍA</t>
  </si>
  <si>
    <t>CONTROL</t>
  </si>
  <si>
    <t>SOFTWARE</t>
  </si>
  <si>
    <t>Concepto A (Base)</t>
  </si>
  <si>
    <t>Concepto B</t>
  </si>
  <si>
    <t>Concepto C</t>
  </si>
  <si>
    <t>Precisión de detección de gases (NH3/CO2)</t>
  </si>
  <si>
    <t>Costo del sistema (BOM)</t>
  </si>
  <si>
    <t>Autonomía energética</t>
  </si>
  <si>
    <t>Complejidad de implementación (menor es mejor)</t>
  </si>
  <si>
    <t>Escalabilidad y conectividad (IoT)</t>
  </si>
  <si>
    <t>Robustez ambiental (campo/intemperie)</t>
  </si>
  <si>
    <t>Criterio</t>
  </si>
  <si>
    <t>Peso</t>
  </si>
  <si>
    <t>Base (A)</t>
  </si>
  <si>
    <t>B vs A</t>
  </si>
  <si>
    <t>C vs A</t>
  </si>
  <si>
    <t>Precisión de detección de gases (NH3/HCN)</t>
  </si>
  <si>
    <t>TOTAL</t>
  </si>
  <si>
    <t>Suma</t>
  </si>
  <si>
    <t>-</t>
  </si>
  <si>
    <t>Peso*Concepto A (Base)</t>
  </si>
  <si>
    <t>Peso*Concepto B</t>
  </si>
  <si>
    <t>Peso*Concepto C</t>
  </si>
  <si>
    <t>Total ponderado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</si>
</sst>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mbria"/>
    </font>
    <font>
      <b/>
      <sz val="11.0"/>
      <color rgb="FF000000"/>
      <name val="Cambria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vertical="top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2" fillId="3" fontId="1" numFmtId="0" xfId="0" applyAlignment="1" applyBorder="1" applyFill="1" applyFont="1">
      <alignment horizontal="center" vertical="top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shrinkToFit="0" wrapText="1"/>
    </xf>
    <xf borderId="2" fillId="0" fontId="5" numFmtId="0" xfId="0" applyBorder="1" applyFont="1"/>
    <xf borderId="2" fillId="3" fontId="1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shrinkToFit="0" vertical="top" wrapText="0"/>
    </xf>
    <xf borderId="2" fillId="0" fontId="6" numFmtId="0" xfId="0" applyAlignment="1" applyBorder="1" applyFont="1">
      <alignment horizontal="center" shrinkToFit="0" wrapText="0"/>
    </xf>
    <xf borderId="2" fillId="5" fontId="2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 vertical="top"/>
    </xf>
    <xf borderId="2" fillId="6" fontId="3" numFmtId="0" xfId="0" applyAlignment="1" applyBorder="1" applyFill="1" applyFont="1">
      <alignment horizontal="center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center" vertical="top"/>
    </xf>
    <xf borderId="2" fillId="0" fontId="6" numFmtId="0" xfId="0" applyAlignment="1" applyBorder="1" applyFont="1">
      <alignment vertical="top"/>
    </xf>
    <xf borderId="2" fillId="0" fontId="7" numFmtId="0" xfId="0" applyAlignment="1" applyBorder="1" applyFont="1">
      <alignment horizontal="center"/>
    </xf>
    <xf borderId="2" fillId="8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3.14"/>
    <col customWidth="1" min="3" max="3" width="73.43"/>
    <col customWidth="1" min="4" max="26" width="9.14"/>
  </cols>
  <sheetData>
    <row r="1" ht="14.25" customHeight="1"/>
    <row r="2" ht="14.25" customHeight="1"/>
    <row r="3" ht="14.25" customHeight="1"/>
    <row r="4" ht="14.25" customHeight="1"/>
    <row r="5" ht="14.25" customHeight="1">
      <c r="B5" s="1" t="s">
        <v>0</v>
      </c>
      <c r="C5" s="1" t="s">
        <v>4</v>
      </c>
    </row>
    <row r="6" ht="14.25" customHeight="1">
      <c r="B6" s="5"/>
      <c r="C6" s="5"/>
    </row>
    <row r="7" ht="14.25" customHeight="1">
      <c r="B7" s="7">
        <v>1.0</v>
      </c>
      <c r="C7" s="9" t="s">
        <v>15</v>
      </c>
    </row>
    <row r="8" ht="14.25" customHeight="1">
      <c r="B8" s="7">
        <v>2.0</v>
      </c>
      <c r="C8" s="9" t="s">
        <v>22</v>
      </c>
    </row>
    <row r="9" ht="14.25" customHeight="1">
      <c r="B9" s="7">
        <v>3.0</v>
      </c>
      <c r="C9" s="9" t="s">
        <v>27</v>
      </c>
    </row>
    <row r="10" ht="14.25" customHeight="1">
      <c r="B10" s="7">
        <v>4.0</v>
      </c>
      <c r="C10" s="9" t="s">
        <v>31</v>
      </c>
    </row>
    <row r="11" ht="14.25" customHeight="1">
      <c r="B11" s="7">
        <v>5.0</v>
      </c>
      <c r="C11" s="9" t="s">
        <v>35</v>
      </c>
    </row>
    <row r="12" ht="14.25" customHeight="1">
      <c r="B12" s="7">
        <v>6.0</v>
      </c>
      <c r="C12" s="9" t="s">
        <v>38</v>
      </c>
    </row>
    <row r="13" ht="14.25" customHeight="1">
      <c r="B13" s="7">
        <v>7.0</v>
      </c>
      <c r="C13" s="9" t="s">
        <v>42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5:B6"/>
    <mergeCell ref="C5:C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9.14"/>
    <col customWidth="1" min="3" max="3" width="14.57"/>
    <col customWidth="1" min="4" max="4" width="69.29"/>
    <col customWidth="1" min="5" max="26" width="9.14"/>
  </cols>
  <sheetData>
    <row r="1" ht="14.25" customHeight="1"/>
    <row r="2" ht="14.25" customHeight="1"/>
    <row r="3" ht="14.25" customHeight="1">
      <c r="D3" s="3" t="s">
        <v>2</v>
      </c>
    </row>
    <row r="4" ht="14.25" customHeight="1">
      <c r="D4" s="8" t="s">
        <v>7</v>
      </c>
    </row>
    <row r="5" ht="14.25" customHeight="1">
      <c r="D5" s="11" t="s">
        <v>21</v>
      </c>
    </row>
    <row r="6" ht="14.25" customHeight="1">
      <c r="D6" s="11" t="s">
        <v>32</v>
      </c>
    </row>
    <row r="7" ht="14.25" customHeight="1">
      <c r="D7" s="11" t="s">
        <v>37</v>
      </c>
    </row>
    <row r="8" ht="14.25" customHeight="1">
      <c r="D8" s="11" t="s">
        <v>40</v>
      </c>
    </row>
    <row r="9" ht="14.25" customHeight="1">
      <c r="D9" s="11" t="s">
        <v>45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0.14"/>
    <col customWidth="1" min="3" max="3" width="19.29"/>
    <col customWidth="1" min="4" max="4" width="41.86"/>
    <col customWidth="1" min="5" max="5" width="26.57"/>
    <col customWidth="1" min="6" max="6" width="28.29"/>
    <col customWidth="1" min="7" max="7" width="32.86"/>
    <col customWidth="1" min="8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6" t="s">
        <v>3</v>
      </c>
      <c r="D6" s="6" t="s">
        <v>14</v>
      </c>
      <c r="E6" s="10" t="s">
        <v>19</v>
      </c>
      <c r="F6" s="10" t="s">
        <v>25</v>
      </c>
      <c r="G6" s="6" t="s">
        <v>29</v>
      </c>
    </row>
    <row r="7" ht="14.25" customHeight="1">
      <c r="C7" s="13" t="s">
        <v>34</v>
      </c>
      <c r="D7" s="15" t="s">
        <v>5</v>
      </c>
      <c r="E7" s="16" t="s">
        <v>36</v>
      </c>
      <c r="F7" s="16" t="s">
        <v>48</v>
      </c>
      <c r="G7" s="13" t="s">
        <v>51</v>
      </c>
    </row>
    <row r="8" ht="14.25" customHeight="1">
      <c r="C8" s="13" t="s">
        <v>34</v>
      </c>
      <c r="D8" s="15" t="s">
        <v>6</v>
      </c>
      <c r="E8" s="16" t="s">
        <v>39</v>
      </c>
      <c r="F8" s="16" t="s">
        <v>59</v>
      </c>
      <c r="G8" s="13" t="s">
        <v>61</v>
      </c>
    </row>
    <row r="9" ht="14.25" customHeight="1">
      <c r="C9" s="13" t="s">
        <v>34</v>
      </c>
      <c r="D9" s="15" t="s">
        <v>8</v>
      </c>
      <c r="E9" s="16" t="s">
        <v>41</v>
      </c>
      <c r="F9" s="16" t="s">
        <v>63</v>
      </c>
      <c r="G9" s="13" t="s">
        <v>68</v>
      </c>
    </row>
    <row r="10" ht="14.25" customHeight="1">
      <c r="C10" s="13" t="s">
        <v>34</v>
      </c>
      <c r="D10" s="15" t="s">
        <v>9</v>
      </c>
      <c r="E10" s="16" t="s">
        <v>43</v>
      </c>
      <c r="F10" s="16" t="s">
        <v>64</v>
      </c>
      <c r="G10" s="13" t="s">
        <v>75</v>
      </c>
    </row>
    <row r="11" ht="14.25" customHeight="1">
      <c r="C11" s="13" t="s">
        <v>77</v>
      </c>
      <c r="D11" s="15" t="s">
        <v>10</v>
      </c>
      <c r="E11" s="13" t="s">
        <v>44</v>
      </c>
      <c r="F11" s="13" t="s">
        <v>65</v>
      </c>
      <c r="G11" s="13" t="s">
        <v>82</v>
      </c>
    </row>
    <row r="12" ht="14.25" customHeight="1">
      <c r="C12" s="13" t="s">
        <v>83</v>
      </c>
      <c r="D12" s="15" t="s">
        <v>84</v>
      </c>
      <c r="E12" s="13" t="s">
        <v>46</v>
      </c>
      <c r="F12" s="13" t="s">
        <v>66</v>
      </c>
      <c r="G12" s="13" t="s">
        <v>85</v>
      </c>
    </row>
    <row r="13" ht="14.25" customHeight="1">
      <c r="C13" s="13" t="s">
        <v>83</v>
      </c>
      <c r="D13" s="15" t="s">
        <v>12</v>
      </c>
      <c r="E13" s="13" t="s">
        <v>47</v>
      </c>
      <c r="F13" s="13" t="s">
        <v>67</v>
      </c>
      <c r="G13" s="13" t="s">
        <v>86</v>
      </c>
    </row>
    <row r="14" ht="14.25" customHeight="1">
      <c r="C14" s="13" t="s">
        <v>83</v>
      </c>
      <c r="D14" s="15" t="s">
        <v>13</v>
      </c>
      <c r="E14" s="13" t="s">
        <v>49</v>
      </c>
      <c r="F14" s="13" t="s">
        <v>69</v>
      </c>
      <c r="G14" s="13" t="s">
        <v>87</v>
      </c>
    </row>
    <row r="15" ht="14.25" customHeight="1">
      <c r="C15" s="13" t="s">
        <v>83</v>
      </c>
      <c r="D15" s="15" t="s">
        <v>16</v>
      </c>
      <c r="E15" s="13" t="s">
        <v>50</v>
      </c>
      <c r="F15" s="13" t="s">
        <v>70</v>
      </c>
      <c r="G15" s="13" t="s">
        <v>88</v>
      </c>
    </row>
    <row r="16" ht="14.25" customHeight="1">
      <c r="C16" s="13" t="s">
        <v>83</v>
      </c>
      <c r="D16" s="15" t="s">
        <v>17</v>
      </c>
      <c r="E16" s="13" t="s">
        <v>52</v>
      </c>
      <c r="F16" s="13" t="s">
        <v>71</v>
      </c>
      <c r="G16" s="13" t="s">
        <v>89</v>
      </c>
    </row>
    <row r="17" ht="14.25" customHeight="1">
      <c r="C17" s="13" t="s">
        <v>98</v>
      </c>
      <c r="D17" s="15" t="s">
        <v>18</v>
      </c>
      <c r="E17" s="13" t="s">
        <v>53</v>
      </c>
      <c r="F17" s="13" t="s">
        <v>72</v>
      </c>
      <c r="G17" s="13" t="s">
        <v>90</v>
      </c>
    </row>
    <row r="18" ht="14.25" customHeight="1">
      <c r="C18" s="13" t="s">
        <v>98</v>
      </c>
      <c r="D18" s="15" t="s">
        <v>20</v>
      </c>
      <c r="E18" s="13" t="s">
        <v>54</v>
      </c>
      <c r="F18" s="13" t="s">
        <v>73</v>
      </c>
      <c r="G18" s="13" t="s">
        <v>91</v>
      </c>
    </row>
    <row r="19" ht="14.25" customHeight="1">
      <c r="C19" s="13" t="s">
        <v>99</v>
      </c>
      <c r="D19" s="15" t="s">
        <v>23</v>
      </c>
      <c r="E19" s="13" t="s">
        <v>55</v>
      </c>
      <c r="F19" s="13" t="s">
        <v>74</v>
      </c>
      <c r="G19" s="13" t="s">
        <v>92</v>
      </c>
    </row>
    <row r="20" ht="14.25" customHeight="1">
      <c r="C20" s="13" t="s">
        <v>100</v>
      </c>
      <c r="D20" s="15" t="s">
        <v>24</v>
      </c>
      <c r="E20" s="13" t="s">
        <v>56</v>
      </c>
      <c r="F20" s="13" t="s">
        <v>76</v>
      </c>
      <c r="G20" s="13" t="s">
        <v>93</v>
      </c>
    </row>
    <row r="21" ht="14.25" customHeight="1">
      <c r="C21" s="13" t="s">
        <v>100</v>
      </c>
      <c r="D21" s="15" t="s">
        <v>26</v>
      </c>
      <c r="E21" s="13" t="s">
        <v>57</v>
      </c>
      <c r="F21" s="13" t="s">
        <v>78</v>
      </c>
      <c r="G21" s="13" t="s">
        <v>94</v>
      </c>
    </row>
    <row r="22" ht="14.25" customHeight="1">
      <c r="C22" s="13" t="s">
        <v>100</v>
      </c>
      <c r="D22" s="15" t="s">
        <v>28</v>
      </c>
      <c r="E22" s="13" t="s">
        <v>58</v>
      </c>
      <c r="F22" s="13" t="s">
        <v>79</v>
      </c>
      <c r="G22" s="13" t="s">
        <v>95</v>
      </c>
    </row>
    <row r="23" ht="14.25" customHeight="1">
      <c r="C23" s="13" t="s">
        <v>100</v>
      </c>
      <c r="D23" s="15" t="s">
        <v>30</v>
      </c>
      <c r="E23" s="13" t="s">
        <v>60</v>
      </c>
      <c r="F23" s="13" t="s">
        <v>80</v>
      </c>
      <c r="G23" s="13" t="s">
        <v>96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2.0"/>
    <col customWidth="1" min="3" max="3" width="31.0"/>
    <col customWidth="1" min="4" max="4" width="36.43"/>
    <col customWidth="1" min="5" max="5" width="46.43"/>
    <col customWidth="1" min="6" max="6" width="50.71"/>
    <col customWidth="1" min="7" max="7" width="36.43"/>
    <col customWidth="1" min="8" max="8" width="35.57"/>
    <col customWidth="1" min="9" max="9" width="40.71"/>
    <col customWidth="1" min="10" max="10" width="37.0"/>
    <col customWidth="1" min="11" max="11" width="32.14"/>
    <col customWidth="1" min="12" max="12" width="27.57"/>
    <col customWidth="1" min="13" max="13" width="32.71"/>
    <col customWidth="1" min="14" max="14" width="35.29"/>
    <col customWidth="1" min="15" max="15" width="39.0"/>
    <col customWidth="1" min="16" max="16" width="26.57"/>
    <col customWidth="1" min="17" max="17" width="21.57"/>
    <col customWidth="1" min="18" max="18" width="29.71"/>
    <col customWidth="1" min="19" max="19" width="28.86"/>
    <col customWidth="1" min="20" max="24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B10" s="2" t="s">
        <v>1</v>
      </c>
      <c r="C10" s="4" t="s">
        <v>5</v>
      </c>
      <c r="D10" s="4" t="s">
        <v>6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16</v>
      </c>
      <c r="L10" s="4" t="s">
        <v>17</v>
      </c>
      <c r="M10" s="4" t="s">
        <v>18</v>
      </c>
      <c r="N10" s="4" t="s">
        <v>20</v>
      </c>
      <c r="O10" s="4" t="s">
        <v>23</v>
      </c>
      <c r="P10" s="4" t="s">
        <v>24</v>
      </c>
      <c r="Q10" s="4" t="s">
        <v>26</v>
      </c>
      <c r="R10" s="4" t="s">
        <v>28</v>
      </c>
      <c r="S10" s="4" t="s">
        <v>30</v>
      </c>
    </row>
    <row r="11" ht="14.25" customHeight="1">
      <c r="B11" s="12" t="s">
        <v>33</v>
      </c>
      <c r="C11" s="14" t="s">
        <v>36</v>
      </c>
      <c r="D11" s="14" t="s">
        <v>39</v>
      </c>
      <c r="E11" s="14" t="s">
        <v>41</v>
      </c>
      <c r="F11" s="14" t="s">
        <v>43</v>
      </c>
      <c r="G11" s="14" t="s">
        <v>44</v>
      </c>
      <c r="H11" s="14" t="s">
        <v>46</v>
      </c>
      <c r="I11" s="14" t="s">
        <v>47</v>
      </c>
      <c r="J11" s="14" t="s">
        <v>49</v>
      </c>
      <c r="K11" s="14" t="s">
        <v>50</v>
      </c>
      <c r="L11" s="14" t="s">
        <v>52</v>
      </c>
      <c r="M11" s="14" t="s">
        <v>53</v>
      </c>
      <c r="N11" s="14" t="s">
        <v>54</v>
      </c>
      <c r="O11" s="14" t="s">
        <v>55</v>
      </c>
      <c r="P11" s="14" t="s">
        <v>56</v>
      </c>
      <c r="Q11" s="14" t="s">
        <v>57</v>
      </c>
      <c r="R11" s="14" t="s">
        <v>58</v>
      </c>
      <c r="S11" s="14" t="s">
        <v>60</v>
      </c>
    </row>
    <row r="12" ht="14.25" customHeight="1">
      <c r="B12" s="12" t="s">
        <v>62</v>
      </c>
      <c r="C12" s="14" t="s">
        <v>48</v>
      </c>
      <c r="D12" s="14" t="s">
        <v>59</v>
      </c>
      <c r="E12" s="14" t="s">
        <v>63</v>
      </c>
      <c r="F12" s="14" t="s">
        <v>64</v>
      </c>
      <c r="G12" s="14" t="s">
        <v>65</v>
      </c>
      <c r="H12" s="14" t="s">
        <v>66</v>
      </c>
      <c r="I12" s="14" t="s">
        <v>67</v>
      </c>
      <c r="J12" s="14" t="s">
        <v>69</v>
      </c>
      <c r="K12" s="14" t="s">
        <v>70</v>
      </c>
      <c r="L12" s="14" t="s">
        <v>71</v>
      </c>
      <c r="M12" s="14" t="s">
        <v>72</v>
      </c>
      <c r="N12" s="14" t="s">
        <v>73</v>
      </c>
      <c r="O12" s="14" t="s">
        <v>74</v>
      </c>
      <c r="P12" s="14" t="s">
        <v>76</v>
      </c>
      <c r="Q12" s="14" t="s">
        <v>78</v>
      </c>
      <c r="R12" s="14" t="s">
        <v>79</v>
      </c>
      <c r="S12" s="14" t="s">
        <v>80</v>
      </c>
    </row>
    <row r="13" ht="14.25" customHeight="1">
      <c r="B13" s="12" t="s">
        <v>81</v>
      </c>
      <c r="C13" s="14" t="s">
        <v>51</v>
      </c>
      <c r="D13" s="14" t="s">
        <v>61</v>
      </c>
      <c r="E13" s="14" t="s">
        <v>68</v>
      </c>
      <c r="F13" s="14" t="s">
        <v>75</v>
      </c>
      <c r="G13" s="14" t="s">
        <v>82</v>
      </c>
      <c r="H13" s="14" t="s">
        <v>85</v>
      </c>
      <c r="I13" s="14" t="s">
        <v>86</v>
      </c>
      <c r="J13" s="14" t="s">
        <v>87</v>
      </c>
      <c r="K13" s="14" t="s">
        <v>88</v>
      </c>
      <c r="L13" s="14" t="s">
        <v>89</v>
      </c>
      <c r="M13" s="14" t="s">
        <v>90</v>
      </c>
      <c r="N13" s="14" t="s">
        <v>91</v>
      </c>
      <c r="O13" s="14" t="s">
        <v>92</v>
      </c>
      <c r="P13" s="14" t="s">
        <v>93</v>
      </c>
      <c r="Q13" s="14" t="s">
        <v>94</v>
      </c>
      <c r="R13" s="14" t="s">
        <v>95</v>
      </c>
      <c r="S13" s="14" t="s">
        <v>96</v>
      </c>
    </row>
    <row r="14" ht="14.25" customHeight="1">
      <c r="B14" s="17" t="s">
        <v>97</v>
      </c>
      <c r="C14" s="18" t="s">
        <v>48</v>
      </c>
      <c r="D14" s="18" t="s">
        <v>59</v>
      </c>
      <c r="E14" s="18" t="s">
        <v>63</v>
      </c>
      <c r="F14" s="18" t="s">
        <v>64</v>
      </c>
      <c r="G14" s="18" t="s">
        <v>65</v>
      </c>
      <c r="H14" s="18" t="s">
        <v>66</v>
      </c>
      <c r="I14" s="18" t="s">
        <v>67</v>
      </c>
      <c r="J14" s="18" t="s">
        <v>69</v>
      </c>
      <c r="K14" s="18" t="s">
        <v>70</v>
      </c>
      <c r="L14" s="18" t="s">
        <v>71</v>
      </c>
      <c r="M14" s="18" t="s">
        <v>72</v>
      </c>
      <c r="N14" s="18" t="s">
        <v>73</v>
      </c>
      <c r="O14" s="18" t="s">
        <v>74</v>
      </c>
      <c r="P14" s="18" t="s">
        <v>76</v>
      </c>
      <c r="Q14" s="18" t="s">
        <v>78</v>
      </c>
      <c r="R14" s="18" t="s">
        <v>79</v>
      </c>
      <c r="S14" s="18" t="s">
        <v>80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53.43"/>
    <col customWidth="1" min="3" max="3" width="21.29"/>
    <col customWidth="1" min="4" max="4" width="15.57"/>
    <col customWidth="1" min="6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C10" s="19" t="s">
        <v>101</v>
      </c>
      <c r="D10" s="19" t="s">
        <v>102</v>
      </c>
      <c r="E10" s="19" t="s">
        <v>103</v>
      </c>
    </row>
    <row r="11" ht="14.25" customHeight="1">
      <c r="B11" s="20" t="s">
        <v>104</v>
      </c>
      <c r="C11" s="13">
        <v>2.0</v>
      </c>
      <c r="D11" s="21">
        <v>5.0</v>
      </c>
      <c r="E11" s="21">
        <v>2.0</v>
      </c>
    </row>
    <row r="12" ht="14.25" customHeight="1">
      <c r="B12" s="20" t="s">
        <v>105</v>
      </c>
      <c r="C12" s="21">
        <v>4.0</v>
      </c>
      <c r="D12" s="21">
        <v>1.0</v>
      </c>
      <c r="E12" s="21">
        <v>3.0</v>
      </c>
    </row>
    <row r="13" ht="14.25" customHeight="1">
      <c r="B13" s="20" t="s">
        <v>106</v>
      </c>
      <c r="C13" s="13">
        <v>2.0</v>
      </c>
      <c r="D13" s="21">
        <v>4.0</v>
      </c>
      <c r="E13" s="21">
        <v>3.0</v>
      </c>
    </row>
    <row r="14" ht="14.25" customHeight="1">
      <c r="B14" s="20" t="s">
        <v>107</v>
      </c>
      <c r="C14" s="13">
        <v>5.0</v>
      </c>
      <c r="D14" s="21">
        <v>2.0</v>
      </c>
      <c r="E14" s="21">
        <v>3.0</v>
      </c>
    </row>
    <row r="15" ht="14.25" customHeight="1">
      <c r="B15" s="20" t="s">
        <v>108</v>
      </c>
      <c r="C15" s="13">
        <v>1.0</v>
      </c>
      <c r="D15" s="21">
        <v>5.0</v>
      </c>
      <c r="E15" s="21">
        <v>4.0</v>
      </c>
    </row>
    <row r="16" ht="14.25" customHeight="1">
      <c r="B16" s="20" t="s">
        <v>109</v>
      </c>
      <c r="C16" s="21">
        <v>1.0</v>
      </c>
      <c r="D16" s="21">
        <v>5.0</v>
      </c>
      <c r="E16" s="21">
        <v>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" width="9.14"/>
    <col customWidth="1" min="4" max="4" width="45.29"/>
    <col customWidth="1" min="5" max="5" width="17.71"/>
    <col customWidth="1" min="6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D9" s="22" t="s">
        <v>110</v>
      </c>
      <c r="E9" s="22" t="s">
        <v>111</v>
      </c>
    </row>
    <row r="10" ht="14.25" customHeight="1">
      <c r="D10" s="15" t="s">
        <v>104</v>
      </c>
      <c r="E10" s="13">
        <v>0.25</v>
      </c>
    </row>
    <row r="11" ht="14.25" customHeight="1">
      <c r="D11" s="15" t="s">
        <v>105</v>
      </c>
      <c r="E11" s="13">
        <v>0.2</v>
      </c>
    </row>
    <row r="12" ht="14.25" customHeight="1">
      <c r="D12" s="15" t="s">
        <v>106</v>
      </c>
      <c r="E12" s="13">
        <v>0.15</v>
      </c>
    </row>
    <row r="13" ht="14.25" customHeight="1">
      <c r="D13" s="15" t="s">
        <v>107</v>
      </c>
      <c r="E13" s="13">
        <v>0.2</v>
      </c>
    </row>
    <row r="14" ht="14.25" customHeight="1">
      <c r="D14" s="15" t="s">
        <v>108</v>
      </c>
      <c r="E14" s="13">
        <v>0.1</v>
      </c>
    </row>
    <row r="15" ht="14.25" customHeight="1">
      <c r="D15" s="15" t="s">
        <v>109</v>
      </c>
      <c r="E15" s="13">
        <v>0.1</v>
      </c>
    </row>
    <row r="16" ht="14.25" customHeight="1">
      <c r="D16" s="13" t="s">
        <v>116</v>
      </c>
      <c r="E16" s="7">
        <f>SUM(E10:E15)</f>
        <v>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7.43"/>
    <col customWidth="1" min="3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B6" s="6" t="s">
        <v>110</v>
      </c>
      <c r="C6" s="6" t="s">
        <v>112</v>
      </c>
      <c r="D6" s="6" t="s">
        <v>113</v>
      </c>
      <c r="E6" s="6" t="s">
        <v>114</v>
      </c>
    </row>
    <row r="7" ht="14.25" customHeight="1">
      <c r="B7" s="23" t="s">
        <v>115</v>
      </c>
      <c r="C7" s="7">
        <v>0.0</v>
      </c>
      <c r="D7" s="13">
        <v>1.0</v>
      </c>
      <c r="E7" s="13">
        <v>1.0</v>
      </c>
    </row>
    <row r="8" ht="14.25" customHeight="1">
      <c r="B8" s="23" t="s">
        <v>105</v>
      </c>
      <c r="C8" s="7">
        <v>0.0</v>
      </c>
      <c r="D8" s="13">
        <v>-1.0</v>
      </c>
      <c r="E8" s="13">
        <v>-1.0</v>
      </c>
    </row>
    <row r="9" ht="14.25" customHeight="1">
      <c r="B9" s="23" t="s">
        <v>106</v>
      </c>
      <c r="C9" s="7">
        <v>0.0</v>
      </c>
      <c r="D9" s="13">
        <v>1.0</v>
      </c>
      <c r="E9" s="13">
        <v>1.0</v>
      </c>
    </row>
    <row r="10" ht="14.25" customHeight="1">
      <c r="B10" s="23" t="s">
        <v>107</v>
      </c>
      <c r="C10" s="7">
        <v>0.0</v>
      </c>
      <c r="D10" s="13">
        <v>-1.0</v>
      </c>
      <c r="E10" s="13">
        <v>-1.0</v>
      </c>
    </row>
    <row r="11" ht="14.25" customHeight="1">
      <c r="B11" s="23" t="s">
        <v>108</v>
      </c>
      <c r="C11" s="7">
        <v>0.0</v>
      </c>
      <c r="D11" s="13">
        <v>1.0</v>
      </c>
      <c r="E11" s="13">
        <v>1.0</v>
      </c>
    </row>
    <row r="12" ht="14.25" customHeight="1">
      <c r="B12" s="23" t="s">
        <v>109</v>
      </c>
      <c r="C12" s="7">
        <v>0.0</v>
      </c>
      <c r="D12" s="13">
        <v>1.0</v>
      </c>
      <c r="E12" s="13">
        <v>1.0</v>
      </c>
    </row>
    <row r="13" ht="14.25" customHeight="1">
      <c r="B13" s="9"/>
      <c r="C13" s="24" t="s">
        <v>117</v>
      </c>
      <c r="D13" s="24">
        <f t="shared" ref="D13:E13" si="1">SUM(D7:D12)</f>
        <v>2</v>
      </c>
      <c r="E13" s="24">
        <f t="shared" si="1"/>
        <v>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9.57"/>
    <col customWidth="1" min="3" max="5" width="22.71"/>
    <col customWidth="1" min="6" max="6" width="16.57"/>
    <col customWidth="1" min="7" max="9" width="22.71"/>
    <col customWidth="1" min="10" max="10" width="33.14"/>
    <col customWidth="1" min="11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B9" s="25" t="s">
        <v>110</v>
      </c>
      <c r="C9" s="25" t="s">
        <v>111</v>
      </c>
      <c r="D9" s="25" t="s">
        <v>101</v>
      </c>
      <c r="E9" s="25" t="s">
        <v>102</v>
      </c>
      <c r="F9" s="25" t="s">
        <v>103</v>
      </c>
      <c r="G9" s="25" t="s">
        <v>118</v>
      </c>
      <c r="H9" s="25" t="s">
        <v>119</v>
      </c>
      <c r="I9" s="25" t="s">
        <v>120</v>
      </c>
      <c r="J9" s="25" t="s">
        <v>121</v>
      </c>
    </row>
    <row r="10" ht="14.25" customHeight="1">
      <c r="B10" s="26" t="s">
        <v>115</v>
      </c>
      <c r="C10" s="27">
        <f>Criterios!E10</f>
        <v>0.25</v>
      </c>
      <c r="D10" s="27">
        <f>'Puntajes (1-5)'!C11</f>
        <v>2</v>
      </c>
      <c r="E10" s="27">
        <f>'Puntajes (1-5)'!D11</f>
        <v>5</v>
      </c>
      <c r="F10" s="27">
        <f>'Puntajes (1-5)'!E11</f>
        <v>2</v>
      </c>
      <c r="G10" s="27" t="s">
        <v>118</v>
      </c>
      <c r="H10" s="27">
        <f t="shared" ref="H10:H15" si="1">C10*D10</f>
        <v>0.5</v>
      </c>
      <c r="I10" s="27">
        <f t="shared" ref="I10:I15" si="2">C10*E10</f>
        <v>1.25</v>
      </c>
      <c r="J10" s="27">
        <f t="shared" ref="J10:J15" si="3">C10*F10</f>
        <v>0.5</v>
      </c>
    </row>
    <row r="11" ht="14.25" customHeight="1">
      <c r="B11" s="26" t="s">
        <v>105</v>
      </c>
      <c r="C11" s="27">
        <f>Criterios!E11</f>
        <v>0.2</v>
      </c>
      <c r="D11" s="27">
        <f>'Puntajes (1-5)'!C12</f>
        <v>4</v>
      </c>
      <c r="E11" s="27">
        <f>'Puntajes (1-5)'!D12</f>
        <v>1</v>
      </c>
      <c r="F11" s="27">
        <f>'Puntajes (1-5)'!E12</f>
        <v>3</v>
      </c>
      <c r="G11" s="27" t="s">
        <v>118</v>
      </c>
      <c r="H11" s="27">
        <f t="shared" si="1"/>
        <v>0.8</v>
      </c>
      <c r="I11" s="27">
        <f t="shared" si="2"/>
        <v>0.2</v>
      </c>
      <c r="J11" s="27">
        <f t="shared" si="3"/>
        <v>0.6</v>
      </c>
    </row>
    <row r="12" ht="14.25" customHeight="1">
      <c r="B12" s="26" t="s">
        <v>106</v>
      </c>
      <c r="C12" s="27">
        <f>Criterios!E12</f>
        <v>0.15</v>
      </c>
      <c r="D12" s="27">
        <f>'Puntajes (1-5)'!C13</f>
        <v>2</v>
      </c>
      <c r="E12" s="27">
        <f>'Puntajes (1-5)'!D13</f>
        <v>4</v>
      </c>
      <c r="F12" s="27">
        <f>'Puntajes (1-5)'!E13</f>
        <v>3</v>
      </c>
      <c r="G12" s="27" t="s">
        <v>118</v>
      </c>
      <c r="H12" s="27">
        <f t="shared" si="1"/>
        <v>0.3</v>
      </c>
      <c r="I12" s="27">
        <f t="shared" si="2"/>
        <v>0.6</v>
      </c>
      <c r="J12" s="27">
        <f t="shared" si="3"/>
        <v>0.45</v>
      </c>
    </row>
    <row r="13" ht="14.25" customHeight="1">
      <c r="B13" s="26" t="s">
        <v>107</v>
      </c>
      <c r="C13" s="27">
        <f>Criterios!E13</f>
        <v>0.2</v>
      </c>
      <c r="D13" s="27">
        <f>'Puntajes (1-5)'!C14</f>
        <v>5</v>
      </c>
      <c r="E13" s="27">
        <f>'Puntajes (1-5)'!D14</f>
        <v>2</v>
      </c>
      <c r="F13" s="27">
        <f>'Puntajes (1-5)'!E14</f>
        <v>3</v>
      </c>
      <c r="G13" s="27" t="s">
        <v>118</v>
      </c>
      <c r="H13" s="27">
        <f t="shared" si="1"/>
        <v>1</v>
      </c>
      <c r="I13" s="27">
        <f t="shared" si="2"/>
        <v>0.4</v>
      </c>
      <c r="J13" s="27">
        <f t="shared" si="3"/>
        <v>0.6</v>
      </c>
    </row>
    <row r="14" ht="14.25" customHeight="1">
      <c r="B14" s="26" t="s">
        <v>108</v>
      </c>
      <c r="C14" s="27">
        <f>Criterios!E14</f>
        <v>0.1</v>
      </c>
      <c r="D14" s="27">
        <f>'Puntajes (1-5)'!C15</f>
        <v>1</v>
      </c>
      <c r="E14" s="27">
        <f>'Puntajes (1-5)'!D15</f>
        <v>5</v>
      </c>
      <c r="F14" s="27">
        <f>'Puntajes (1-5)'!E15</f>
        <v>4</v>
      </c>
      <c r="G14" s="27" t="s">
        <v>118</v>
      </c>
      <c r="H14" s="27">
        <f t="shared" si="1"/>
        <v>0.1</v>
      </c>
      <c r="I14" s="27">
        <f t="shared" si="2"/>
        <v>0.5</v>
      </c>
      <c r="J14" s="27">
        <f t="shared" si="3"/>
        <v>0.4</v>
      </c>
    </row>
    <row r="15" ht="14.25" customHeight="1">
      <c r="B15" s="26" t="s">
        <v>109</v>
      </c>
      <c r="C15" s="27">
        <f>Criterios!E15</f>
        <v>0.1</v>
      </c>
      <c r="D15" s="27">
        <f>'Puntajes (1-5)'!C16</f>
        <v>1</v>
      </c>
      <c r="E15" s="27">
        <f>'Puntajes (1-5)'!D16</f>
        <v>5</v>
      </c>
      <c r="F15" s="27">
        <f>'Puntajes (1-5)'!E16</f>
        <v>3</v>
      </c>
      <c r="G15" s="27" t="s">
        <v>118</v>
      </c>
      <c r="H15" s="27">
        <f t="shared" si="1"/>
        <v>0.1</v>
      </c>
      <c r="I15" s="27">
        <f t="shared" si="2"/>
        <v>0.5</v>
      </c>
      <c r="J15" s="27">
        <f t="shared" si="3"/>
        <v>0.3</v>
      </c>
    </row>
    <row r="16" ht="14.25" customHeight="1">
      <c r="B16" s="28" t="s">
        <v>122</v>
      </c>
      <c r="C16" s="27" t="s">
        <v>118</v>
      </c>
      <c r="D16" s="27" t="s">
        <v>118</v>
      </c>
      <c r="E16" s="27" t="s">
        <v>118</v>
      </c>
      <c r="F16" s="27" t="s">
        <v>118</v>
      </c>
      <c r="G16" s="27" t="s">
        <v>118</v>
      </c>
      <c r="H16" s="27">
        <f t="shared" ref="H16:J16" si="4">SUM(H10:H15)</f>
        <v>2.8</v>
      </c>
      <c r="I16" s="27">
        <f t="shared" si="4"/>
        <v>3.45</v>
      </c>
      <c r="J16" s="27">
        <f t="shared" si="4"/>
        <v>2.85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2025-09-01T03:05:01Z</dcterms:created>
  <dc:creator>Lenovo User</dc:creator>
</cp:coreProperties>
</file>